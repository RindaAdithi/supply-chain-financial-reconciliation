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ly Chain Data" sheetId="2" state="visible" r:id="rId2"/>
    <sheet xmlns:r="http://schemas.openxmlformats.org/officeDocument/2006/relationships" name="Excel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6"/>
    </font>
    <font>
      <i val="1"/>
      <color rgb="00595959"/>
    </font>
    <font>
      <name val="Calibri"/>
      <b val="1"/>
      <sz val="11"/>
    </font>
    <font>
      <name val="Calibri"/>
      <sz val="11"/>
    </font>
    <font>
      <name val="Calibri"/>
      <b val="1"/>
      <color rgb="00595959"/>
      <sz val="9"/>
    </font>
    <font>
      <name val="Calibri"/>
      <b val="1"/>
      <color rgb="001F4E78"/>
      <sz val="20"/>
    </font>
    <font>
      <name val="Calibri"/>
      <b val="1"/>
      <color rgb="00C00000"/>
      <sz val="20"/>
    </font>
    <font>
      <name val="Calibri"/>
      <b val="1"/>
      <color rgb="0027AE60"/>
      <sz val="20"/>
    </font>
    <font>
      <name val="Calibri"/>
      <b val="1"/>
      <color rgb="001F4E78"/>
      <sz val="13"/>
    </font>
    <font>
      <name val="Consolas"/>
      <color rgb="0000206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164" fontId="5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11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4EFDF"/>
          <bgColor rgb="00D4EF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85" customWidth="1" min="2" max="2"/>
    <col width="85" customWidth="1" min="3" max="3"/>
    <col width="82" customWidth="1" min="4" max="4"/>
    <col width="75" customWidth="1" min="5" max="5"/>
    <col width="28" customWidth="1" min="6" max="6"/>
    <col width="93" customWidth="1" min="7" max="7"/>
    <col width="14" customWidth="1" min="8" max="8"/>
    <col width="14" customWidth="1" min="9" max="9"/>
  </cols>
  <sheetData>
    <row r="1">
      <c r="A1" s="1" t="inlineStr">
        <is>
          <t>Enterprise Supply Chain Executive Dashboard</t>
        </is>
      </c>
    </row>
    <row r="2">
      <c r="A2" s="2" t="inlineStr">
        <is>
          <t>Excel Financial &amp; Operational Control Layer</t>
        </is>
      </c>
    </row>
    <row r="3"/>
    <row r="4">
      <c r="A4" s="3" t="inlineStr">
        <is>
          <t>TOTAL INVENTORY VALUE</t>
        </is>
      </c>
      <c r="B4" s="22" t="n"/>
      <c r="C4" s="23" t="n"/>
      <c r="D4" s="3" t="inlineStr">
        <is>
          <t>CRITICAL RISK COUNT</t>
        </is>
      </c>
      <c r="E4" s="22" t="n"/>
      <c r="F4" s="23" t="n"/>
      <c r="G4" s="3" t="inlineStr">
        <is>
          <t>RECONCILIATION AUDIT</t>
        </is>
      </c>
      <c r="H4" s="22" t="n"/>
      <c r="I4" s="23" t="n"/>
    </row>
    <row r="5">
      <c r="A5" s="5">
        <f>'Excel Reconciliation'!C5</f>
        <v/>
      </c>
      <c r="B5" s="22" t="n"/>
      <c r="C5" s="23" t="n"/>
      <c r="D5" s="6">
        <f>'Excel Reconciliation'!C8</f>
        <v/>
      </c>
      <c r="E5" s="22" t="n"/>
      <c r="F5" s="23" t="n"/>
      <c r="G5" s="7">
        <f>IF(COUNTIF('Excel Reconciliation'!E5:E9,"MATCHED - 100% ")=5,"100% PASSED","AUDIT ALERT")</f>
        <v/>
      </c>
      <c r="H5" s="22" t="n"/>
      <c r="I5" s="23" t="n"/>
    </row>
    <row r="6"/>
    <row r="7"/>
    <row r="8">
      <c r="A8" s="8" t="inlineStr">
        <is>
          <t>Category Stock Valuation Breakdown</t>
        </is>
      </c>
    </row>
    <row r="9">
      <c r="A9" s="9" t="inlineStr">
        <is>
          <t>Category</t>
        </is>
      </c>
      <c r="B9" s="9" t="inlineStr">
        <is>
          <t>Stock Level</t>
        </is>
      </c>
      <c r="C9" s="9" t="inlineStr">
        <is>
          <t>Total Inventory Value</t>
        </is>
      </c>
      <c r="D9" s="9" t="inlineStr">
        <is>
          <t>Avg Lead Time</t>
        </is>
      </c>
    </row>
    <row r="10">
      <c r="A10" s="10" t="inlineStr">
        <is>
          <t>Electronics</t>
        </is>
      </c>
      <c r="B10" s="11">
        <f>SUMIF('Supply Chain Data'!$B$2:$B$31, A10, 'Supply Chain Data'!$E$2:$E$31)</f>
        <v/>
      </c>
      <c r="C10" s="12">
        <f>SUMIF('Supply Chain Data'!$B$2:$B$31, A10, 'Supply Chain Data'!$I$2:$I$31)</f>
        <v/>
      </c>
      <c r="D10" s="13">
        <f>AVERAGEIF('Supply Chain Data'!$B$2:$B$31, A10, 'Supply Chain Data'!$F$2:$F$31)</f>
        <v/>
      </c>
    </row>
    <row r="11">
      <c r="A11" s="10" t="inlineStr">
        <is>
          <t>Industrial</t>
        </is>
      </c>
      <c r="B11" s="11">
        <f>SUMIF('Supply Chain Data'!$B$2:$B$31, A11, 'Supply Chain Data'!$E$2:$E$31)</f>
        <v/>
      </c>
      <c r="C11" s="12">
        <f>SUMIF('Supply Chain Data'!$B$2:$B$31, A11, 'Supply Chain Data'!$I$2:$I$31)</f>
        <v/>
      </c>
      <c r="D11" s="13">
        <f>AVERAGEIF('Supply Chain Data'!$B$2:$B$31, A11, 'Supply Chain Data'!$F$2:$F$31)</f>
        <v/>
      </c>
    </row>
    <row r="12">
      <c r="A12" s="10" t="inlineStr">
        <is>
          <t>Components</t>
        </is>
      </c>
      <c r="B12" s="11">
        <f>SUMIF('Supply Chain Data'!$B$2:$B$31, A12, 'Supply Chain Data'!$E$2:$E$31)</f>
        <v/>
      </c>
      <c r="C12" s="12">
        <f>SUMIF('Supply Chain Data'!$B$2:$B$31, A12, 'Supply Chain Data'!$I$2:$I$31)</f>
        <v/>
      </c>
      <c r="D12" s="13">
        <f>AVERAGEIF('Supply Chain Data'!$B$2:$B$31, A12, 'Supply Chain Data'!$F$2:$F$31)</f>
        <v/>
      </c>
    </row>
    <row r="13">
      <c r="A13" s="10" t="inlineStr">
        <is>
          <t>Hardware</t>
        </is>
      </c>
      <c r="B13" s="11">
        <f>SUMIF('Supply Chain Data'!$B$2:$B$31, A13, 'Supply Chain Data'!$E$2:$E$31)</f>
        <v/>
      </c>
      <c r="C13" s="12">
        <f>SUMIF('Supply Chain Data'!$B$2:$B$31, A13, 'Supply Chain Data'!$I$2:$I$31)</f>
        <v/>
      </c>
      <c r="D13" s="13">
        <f>AVERAGEIF('Supply Chain Data'!$B$2:$B$31, A13, 'Supply Chain Data'!$F$2:$F$31)</f>
        <v/>
      </c>
    </row>
    <row r="14">
      <c r="A14" s="10" t="inlineStr">
        <is>
          <t>Automotive</t>
        </is>
      </c>
      <c r="B14" s="11">
        <f>SUMIF('Supply Chain Data'!$B$2:$B$31, A14, 'Supply Chain Data'!$E$2:$E$31)</f>
        <v/>
      </c>
      <c r="C14" s="12">
        <f>SUMIF('Supply Chain Data'!$B$2:$B$31, A14, 'Supply Chain Data'!$I$2:$I$31)</f>
        <v/>
      </c>
      <c r="D14" s="13">
        <f>AVERAGEIF('Supply Chain Data'!$B$2:$B$31, A14, 'Supply Chain Data'!$F$2:$F$31)</f>
        <v/>
      </c>
    </row>
    <row r="15"/>
    <row r="16"/>
    <row r="17">
      <c r="A17" s="8" t="inlineStr">
        <is>
          <t>Single SKU Audit Tool (XLOOKUP &amp; LET Verification)</t>
        </is>
      </c>
    </row>
    <row r="18">
      <c r="A18" s="9" t="inlineStr">
        <is>
          <t>Select SKU</t>
        </is>
      </c>
      <c r="B18" s="9" t="inlineStr">
        <is>
          <t>Category</t>
        </is>
      </c>
      <c r="C18" s="9" t="inlineStr">
        <is>
          <t>Region</t>
        </is>
      </c>
      <c r="D18" s="9" t="inlineStr">
        <is>
          <t>Unit Price</t>
        </is>
      </c>
      <c r="E18" s="9" t="inlineStr">
        <is>
          <t>Stock Level</t>
        </is>
      </c>
      <c r="F18" s="9" t="inlineStr">
        <is>
          <t>Risk Status (LET Logic)</t>
        </is>
      </c>
    </row>
    <row r="19">
      <c r="A19" s="24" t="inlineStr">
        <is>
          <t>SKU-1002</t>
        </is>
      </c>
      <c r="B19" s="25">
        <f>XLOOKUP(A19, 'Supply Chain Data'!A2:A31, 'Supply Chain Data'!B2:B31, "Not Found")</f>
        <v/>
      </c>
      <c r="C19" s="25">
        <f>XLOOKUP(A19, 'Supply Chain Data'!A2:A31, 'Supply Chain Data'!C2:C31, "Not Found")</f>
        <v/>
      </c>
      <c r="D19" s="26">
        <f>XLOOKUP(A19, 'Supply Chain Data'!A2:A31, 'Supply Chain Data'!D2:D31, 0)</f>
        <v/>
      </c>
      <c r="E19" s="27">
        <f>XLOOKUP(A19, 'Supply Chain Data'!A2:A31, 'Supply Chain Data'!E2:E31, 0)</f>
        <v/>
      </c>
      <c r="F19" s="24">
        <f>LET(stock, E19, lead, XLOOKUP(A19, 'Supply Chain Data'!A2:A31, 'Supply Chain Data'!F2:F31, 0), rop, (lead*15)+(lead*5), IF(stock&lt;=rop*0.5, "CRITICAL", IF(stock&lt;=rop, "WARNING", "HEALTHY")))</f>
        <v/>
      </c>
    </row>
  </sheetData>
  <mergeCells count="6">
    <mergeCell ref="D5:F5"/>
    <mergeCell ref="A5:C5"/>
    <mergeCell ref="G5:I5"/>
    <mergeCell ref="D4:F4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8" customWidth="1" min="4" max="4"/>
    <col width="23" customWidth="1" min="5" max="5"/>
    <col width="18" customWidth="1" min="6" max="6"/>
    <col width="27" customWidth="1" min="7" max="7"/>
    <col width="26" customWidth="1" min="8" max="8"/>
    <col width="25" customWidth="1" min="9" max="9"/>
    <col width="21" customWidth="1" min="10" max="10"/>
    <col width="65" customWidth="1" min="11" max="11"/>
  </cols>
  <sheetData>
    <row r="1">
      <c r="A1" s="14" t="inlineStr">
        <is>
          <t>Product_ID</t>
        </is>
      </c>
      <c r="B1" s="14" t="inlineStr">
        <is>
          <t>Category</t>
        </is>
      </c>
      <c r="C1" s="14" t="inlineStr">
        <is>
          <t>Region</t>
        </is>
      </c>
      <c r="D1" s="14" t="inlineStr">
        <is>
          <t>Unit_Price_USD</t>
        </is>
      </c>
      <c r="E1" s="14" t="inlineStr">
        <is>
          <t>Current_Stock_Level</t>
        </is>
      </c>
      <c r="F1" s="14" t="inlineStr">
        <is>
          <t>Lead_Time_Days</t>
        </is>
      </c>
      <c r="G1" s="14" t="inlineStr">
        <is>
          <t>Historical_Demand_Units</t>
        </is>
      </c>
      <c r="H1" s="14" t="inlineStr">
        <is>
          <t>Predicted_30Day_Demand</t>
        </is>
      </c>
      <c r="I1" s="14" t="inlineStr">
        <is>
          <t>Total Inventory Value</t>
        </is>
      </c>
      <c r="J1" s="14" t="inlineStr">
        <is>
          <t>Reorder Point</t>
        </is>
      </c>
      <c r="K1" s="14" t="inlineStr">
        <is>
          <t>Stockout Risk Flag</t>
        </is>
      </c>
    </row>
    <row r="2">
      <c r="A2" s="15" t="inlineStr">
        <is>
          <t>SKU-1001</t>
        </is>
      </c>
      <c r="B2" s="15" t="inlineStr">
        <is>
          <t>Electronics</t>
        </is>
      </c>
      <c r="C2" s="15" t="inlineStr">
        <is>
          <t>North</t>
        </is>
      </c>
      <c r="D2" s="12" t="n">
        <v>850</v>
      </c>
      <c r="E2" s="11" t="n">
        <v>940</v>
      </c>
      <c r="F2" s="16" t="n">
        <v>6</v>
      </c>
      <c r="G2" s="11" t="n">
        <v>142</v>
      </c>
      <c r="H2" s="11" t="n">
        <v>172</v>
      </c>
      <c r="I2" s="12">
        <f>E2*D2</f>
        <v/>
      </c>
      <c r="J2" s="11">
        <f>(F2*15)+(F2*5)</f>
        <v/>
      </c>
      <c r="K2" s="15">
        <f>IF(E2&lt;=J2*0.5,"CRITICAL",IF(E2&lt;=J2,"WARNING","HEALTHY"))</f>
        <v/>
      </c>
    </row>
    <row r="3">
      <c r="A3" s="15" t="inlineStr">
        <is>
          <t>SKU-1002</t>
        </is>
      </c>
      <c r="B3" s="15" t="inlineStr">
        <is>
          <t>Industrial</t>
        </is>
      </c>
      <c r="C3" s="15" t="inlineStr">
        <is>
          <t>East</t>
        </is>
      </c>
      <c r="D3" s="12" t="n">
        <v>320</v>
      </c>
      <c r="E3" s="11" t="n">
        <v>151</v>
      </c>
      <c r="F3" s="16" t="n">
        <v>13</v>
      </c>
      <c r="G3" s="11" t="n">
        <v>54</v>
      </c>
      <c r="H3" s="11" t="n">
        <v>65</v>
      </c>
      <c r="I3" s="12">
        <f>E3*D3</f>
        <v/>
      </c>
      <c r="J3" s="11">
        <f>(F3*15)+(F3*5)</f>
        <v/>
      </c>
      <c r="K3" s="15">
        <f>IF(E3&lt;=J3*0.5,"CRITICAL",IF(E3&lt;=J3,"WARNING","HEALTHY"))</f>
        <v/>
      </c>
    </row>
    <row r="4">
      <c r="A4" s="15" t="inlineStr">
        <is>
          <t>SKU-1003</t>
        </is>
      </c>
      <c r="B4" s="15" t="inlineStr">
        <is>
          <t>Components</t>
        </is>
      </c>
      <c r="C4" s="15" t="inlineStr">
        <is>
          <t>South</t>
        </is>
      </c>
      <c r="D4" s="12" t="n">
        <v>45</v>
      </c>
      <c r="E4" s="11" t="n">
        <v>201</v>
      </c>
      <c r="F4" s="16" t="n">
        <v>9</v>
      </c>
      <c r="G4" s="11" t="n">
        <v>60</v>
      </c>
      <c r="H4" s="11" t="n">
        <v>72</v>
      </c>
      <c r="I4" s="12">
        <f>E4*D4</f>
        <v/>
      </c>
      <c r="J4" s="11">
        <f>(F4*15)+(F4*5)</f>
        <v/>
      </c>
      <c r="K4" s="15">
        <f>IF(E4&lt;=J4*0.5,"CRITICAL",IF(E4&lt;=J4,"WARNING","HEALTHY"))</f>
        <v/>
      </c>
    </row>
    <row r="5">
      <c r="A5" s="15" t="inlineStr">
        <is>
          <t>SKU-1004</t>
        </is>
      </c>
      <c r="B5" s="15" t="inlineStr">
        <is>
          <t>Hardware</t>
        </is>
      </c>
      <c r="C5" s="15" t="inlineStr">
        <is>
          <t>West</t>
        </is>
      </c>
      <c r="D5" s="12" t="n">
        <v>400</v>
      </c>
      <c r="E5" s="11" t="n">
        <v>167</v>
      </c>
      <c r="F5" s="16" t="n">
        <v>13</v>
      </c>
      <c r="G5" s="11" t="n">
        <v>114</v>
      </c>
      <c r="H5" s="11" t="n">
        <v>138</v>
      </c>
      <c r="I5" s="12">
        <f>E5*D5</f>
        <v/>
      </c>
      <c r="J5" s="11">
        <f>(F5*15)+(F5*5)</f>
        <v/>
      </c>
      <c r="K5" s="15">
        <f>IF(E5&lt;=J5*0.5,"CRITICAL",IF(E5&lt;=J5,"WARNING","HEALTHY"))</f>
        <v/>
      </c>
    </row>
    <row r="6">
      <c r="A6" s="15" t="inlineStr">
        <is>
          <t>SKU-1005</t>
        </is>
      </c>
      <c r="B6" s="15" t="inlineStr">
        <is>
          <t>Automotive</t>
        </is>
      </c>
      <c r="C6" s="15" t="inlineStr">
        <is>
          <t>North</t>
        </is>
      </c>
      <c r="D6" s="12" t="n">
        <v>1200</v>
      </c>
      <c r="E6" s="11" t="n">
        <v>951</v>
      </c>
      <c r="F6" s="16" t="n">
        <v>6</v>
      </c>
      <c r="G6" s="11" t="n">
        <v>156</v>
      </c>
      <c r="H6" s="11" t="n">
        <v>189</v>
      </c>
      <c r="I6" s="12">
        <f>E6*D6</f>
        <v/>
      </c>
      <c r="J6" s="11">
        <f>(F6*15)+(F6*5)</f>
        <v/>
      </c>
      <c r="K6" s="15">
        <f>IF(E6&lt;=J6*0.5,"CRITICAL",IF(E6&lt;=J6,"WARNING","HEALTHY"))</f>
        <v/>
      </c>
    </row>
    <row r="7">
      <c r="A7" s="15" t="inlineStr">
        <is>
          <t>SKU-1006</t>
        </is>
      </c>
      <c r="B7" s="15" t="inlineStr">
        <is>
          <t>Electronics</t>
        </is>
      </c>
      <c r="C7" s="15" t="inlineStr">
        <is>
          <t>East</t>
        </is>
      </c>
      <c r="D7" s="12" t="n">
        <v>650</v>
      </c>
      <c r="E7" s="11" t="n">
        <v>741</v>
      </c>
      <c r="F7" s="16" t="n">
        <v>5</v>
      </c>
      <c r="G7" s="11" t="n">
        <v>191</v>
      </c>
      <c r="H7" s="11" t="n">
        <v>232</v>
      </c>
      <c r="I7" s="12">
        <f>E7*D7</f>
        <v/>
      </c>
      <c r="J7" s="11">
        <f>(F7*15)+(F7*5)</f>
        <v/>
      </c>
      <c r="K7" s="15">
        <f>IF(E7&lt;=J7*0.5,"CRITICAL",IF(E7&lt;=J7,"WARNING","HEALTHY"))</f>
        <v/>
      </c>
    </row>
    <row r="8">
      <c r="A8" s="15" t="inlineStr">
        <is>
          <t>SKU-1007</t>
        </is>
      </c>
      <c r="B8" s="15" t="inlineStr">
        <is>
          <t>Industrial</t>
        </is>
      </c>
      <c r="C8" s="15" t="inlineStr">
        <is>
          <t>South</t>
        </is>
      </c>
      <c r="D8" s="12" t="n">
        <v>95</v>
      </c>
      <c r="E8" s="11" t="n">
        <v>423</v>
      </c>
      <c r="F8" s="16" t="n">
        <v>4</v>
      </c>
      <c r="G8" s="11" t="n">
        <v>92</v>
      </c>
      <c r="H8" s="11" t="n">
        <v>111</v>
      </c>
      <c r="I8" s="12">
        <f>E8*D8</f>
        <v/>
      </c>
      <c r="J8" s="11">
        <f>(F8*15)+(F8*5)</f>
        <v/>
      </c>
      <c r="K8" s="15">
        <f>IF(E8&lt;=J8*0.5,"CRITICAL",IF(E8&lt;=J8,"WARNING","HEALTHY"))</f>
        <v/>
      </c>
    </row>
    <row r="9">
      <c r="A9" s="15" t="inlineStr">
        <is>
          <t>SKU-1008</t>
        </is>
      </c>
      <c r="B9" s="15" t="inlineStr">
        <is>
          <t>Components</t>
        </is>
      </c>
      <c r="C9" s="15" t="inlineStr">
        <is>
          <t>West</t>
        </is>
      </c>
      <c r="D9" s="12" t="n">
        <v>210</v>
      </c>
      <c r="E9" s="11" t="n">
        <v>465</v>
      </c>
      <c r="F9" s="16" t="n">
        <v>8</v>
      </c>
      <c r="G9" s="11" t="n">
        <v>197</v>
      </c>
      <c r="H9" s="11" t="n">
        <v>239</v>
      </c>
      <c r="I9" s="12">
        <f>E9*D9</f>
        <v/>
      </c>
      <c r="J9" s="11">
        <f>(F9*15)+(F9*5)</f>
        <v/>
      </c>
      <c r="K9" s="15">
        <f>IF(E9&lt;=J9*0.5,"CRITICAL",IF(E9&lt;=J9,"WARNING","HEALTHY"))</f>
        <v/>
      </c>
    </row>
    <row r="10">
      <c r="A10" s="15" t="inlineStr">
        <is>
          <t>SKU-1009</t>
        </is>
      </c>
      <c r="B10" s="15" t="inlineStr">
        <is>
          <t>Hardware</t>
        </is>
      </c>
      <c r="C10" s="15" t="inlineStr">
        <is>
          <t>North</t>
        </is>
      </c>
      <c r="D10" s="12" t="n">
        <v>550</v>
      </c>
      <c r="E10" s="11" t="n">
        <v>539</v>
      </c>
      <c r="F10" s="16" t="n">
        <v>3</v>
      </c>
      <c r="G10" s="11" t="n">
        <v>60</v>
      </c>
      <c r="H10" s="11" t="n">
        <v>72</v>
      </c>
      <c r="I10" s="12">
        <f>E10*D10</f>
        <v/>
      </c>
      <c r="J10" s="11">
        <f>(F10*15)+(F10*5)</f>
        <v/>
      </c>
      <c r="K10" s="15">
        <f>IF(E10&lt;=J10*0.5,"CRITICAL",IF(E10&lt;=J10,"WARNING","HEALTHY"))</f>
        <v/>
      </c>
    </row>
    <row r="11">
      <c r="A11" s="15" t="inlineStr">
        <is>
          <t>SKU-1010</t>
        </is>
      </c>
      <c r="B11" s="15" t="inlineStr">
        <is>
          <t>Automotive</t>
        </is>
      </c>
      <c r="C11" s="15" t="inlineStr">
        <is>
          <t>East</t>
        </is>
      </c>
      <c r="D11" s="12" t="n">
        <v>780</v>
      </c>
      <c r="E11" s="11" t="n">
        <v>332</v>
      </c>
      <c r="F11" s="16" t="n">
        <v>8</v>
      </c>
      <c r="G11" s="11" t="n">
        <v>97</v>
      </c>
      <c r="H11" s="11" t="n">
        <v>117</v>
      </c>
      <c r="I11" s="12">
        <f>E11*D11</f>
        <v/>
      </c>
      <c r="J11" s="11">
        <f>(F11*15)+(F11*5)</f>
        <v/>
      </c>
      <c r="K11" s="15">
        <f>IF(E11&lt;=J11*0.5,"CRITICAL",IF(E11&lt;=J11,"WARNING","HEALTHY"))</f>
        <v/>
      </c>
    </row>
    <row r="12">
      <c r="A12" s="15" t="inlineStr">
        <is>
          <t>SKU-1011</t>
        </is>
      </c>
      <c r="B12" s="15" t="inlineStr">
        <is>
          <t>Electronics</t>
        </is>
      </c>
      <c r="C12" s="15" t="inlineStr">
        <is>
          <t>South</t>
        </is>
      </c>
      <c r="D12" s="12" t="n">
        <v>850</v>
      </c>
      <c r="E12" s="11" t="n">
        <v>940</v>
      </c>
      <c r="F12" s="16" t="n">
        <v>6</v>
      </c>
      <c r="G12" s="11" t="n">
        <v>142</v>
      </c>
      <c r="H12" s="11" t="n">
        <v>172</v>
      </c>
      <c r="I12" s="12">
        <f>E12*D12</f>
        <v/>
      </c>
      <c r="J12" s="11">
        <f>(F12*15)+(F12*5)</f>
        <v/>
      </c>
      <c r="K12" s="15">
        <f>IF(E12&lt;=J12*0.5,"CRITICAL",IF(E12&lt;=J12,"WARNING","HEALTHY"))</f>
        <v/>
      </c>
    </row>
    <row r="13">
      <c r="A13" s="15" t="inlineStr">
        <is>
          <t>SKU-1012</t>
        </is>
      </c>
      <c r="B13" s="15" t="inlineStr">
        <is>
          <t>Industrial</t>
        </is>
      </c>
      <c r="C13" s="15" t="inlineStr">
        <is>
          <t>West</t>
        </is>
      </c>
      <c r="D13" s="12" t="n">
        <v>320</v>
      </c>
      <c r="E13" s="11" t="n">
        <v>151</v>
      </c>
      <c r="F13" s="16" t="n">
        <v>13</v>
      </c>
      <c r="G13" s="11" t="n">
        <v>54</v>
      </c>
      <c r="H13" s="11" t="n">
        <v>65</v>
      </c>
      <c r="I13" s="12">
        <f>E13*D13</f>
        <v/>
      </c>
      <c r="J13" s="11">
        <f>(F13*15)+(F13*5)</f>
        <v/>
      </c>
      <c r="K13" s="15">
        <f>IF(E13&lt;=J13*0.5,"CRITICAL",IF(E13&lt;=J13,"WARNING","HEALTHY"))</f>
        <v/>
      </c>
    </row>
    <row r="14">
      <c r="A14" s="15" t="inlineStr">
        <is>
          <t>SKU-1013</t>
        </is>
      </c>
      <c r="B14" s="15" t="inlineStr">
        <is>
          <t>Components</t>
        </is>
      </c>
      <c r="C14" s="15" t="inlineStr">
        <is>
          <t>North</t>
        </is>
      </c>
      <c r="D14" s="12" t="n">
        <v>45</v>
      </c>
      <c r="E14" s="11" t="n">
        <v>201</v>
      </c>
      <c r="F14" s="16" t="n">
        <v>9</v>
      </c>
      <c r="G14" s="11" t="n">
        <v>60</v>
      </c>
      <c r="H14" s="11" t="n">
        <v>72</v>
      </c>
      <c r="I14" s="12">
        <f>E14*D14</f>
        <v/>
      </c>
      <c r="J14" s="11">
        <f>(F14*15)+(F14*5)</f>
        <v/>
      </c>
      <c r="K14" s="15">
        <f>IF(E14&lt;=J14*0.5,"CRITICAL",IF(E14&lt;=J14,"WARNING","HEALTHY"))</f>
        <v/>
      </c>
    </row>
    <row r="15">
      <c r="A15" s="15" t="inlineStr">
        <is>
          <t>SKU-1014</t>
        </is>
      </c>
      <c r="B15" s="15" t="inlineStr">
        <is>
          <t>Hardware</t>
        </is>
      </c>
      <c r="C15" s="15" t="inlineStr">
        <is>
          <t>East</t>
        </is>
      </c>
      <c r="D15" s="12" t="n">
        <v>400</v>
      </c>
      <c r="E15" s="11" t="n">
        <v>167</v>
      </c>
      <c r="F15" s="16" t="n">
        <v>13</v>
      </c>
      <c r="G15" s="11" t="n">
        <v>114</v>
      </c>
      <c r="H15" s="11" t="n">
        <v>138</v>
      </c>
      <c r="I15" s="12">
        <f>E15*D15</f>
        <v/>
      </c>
      <c r="J15" s="11">
        <f>(F15*15)+(F15*5)</f>
        <v/>
      </c>
      <c r="K15" s="15">
        <f>IF(E15&lt;=J15*0.5,"CRITICAL",IF(E15&lt;=J15,"WARNING","HEALTHY"))</f>
        <v/>
      </c>
    </row>
    <row r="16">
      <c r="A16" s="15" t="inlineStr">
        <is>
          <t>SKU-1015</t>
        </is>
      </c>
      <c r="B16" s="15" t="inlineStr">
        <is>
          <t>Automotive</t>
        </is>
      </c>
      <c r="C16" s="15" t="inlineStr">
        <is>
          <t>South</t>
        </is>
      </c>
      <c r="D16" s="12" t="n">
        <v>1200</v>
      </c>
      <c r="E16" s="11" t="n">
        <v>951</v>
      </c>
      <c r="F16" s="16" t="n">
        <v>6</v>
      </c>
      <c r="G16" s="11" t="n">
        <v>156</v>
      </c>
      <c r="H16" s="11" t="n">
        <v>189</v>
      </c>
      <c r="I16" s="12">
        <f>E16*D16</f>
        <v/>
      </c>
      <c r="J16" s="11">
        <f>(F16*15)+(F16*5)</f>
        <v/>
      </c>
      <c r="K16" s="15">
        <f>IF(E16&lt;=J16*0.5,"CRITICAL",IF(E16&lt;=J16,"WARNING","HEALTHY"))</f>
        <v/>
      </c>
    </row>
    <row r="17">
      <c r="A17" s="15" t="inlineStr">
        <is>
          <t>SKU-1016</t>
        </is>
      </c>
      <c r="B17" s="15" t="inlineStr">
        <is>
          <t>Electronics</t>
        </is>
      </c>
      <c r="C17" s="15" t="inlineStr">
        <is>
          <t>West</t>
        </is>
      </c>
      <c r="D17" s="12" t="n">
        <v>650</v>
      </c>
      <c r="E17" s="11" t="n">
        <v>741</v>
      </c>
      <c r="F17" s="16" t="n">
        <v>5</v>
      </c>
      <c r="G17" s="11" t="n">
        <v>191</v>
      </c>
      <c r="H17" s="11" t="n">
        <v>232</v>
      </c>
      <c r="I17" s="12">
        <f>E17*D17</f>
        <v/>
      </c>
      <c r="J17" s="11">
        <f>(F17*15)+(F17*5)</f>
        <v/>
      </c>
      <c r="K17" s="15">
        <f>IF(E17&lt;=J17*0.5,"CRITICAL",IF(E17&lt;=J17,"WARNING","HEALTHY"))</f>
        <v/>
      </c>
    </row>
    <row r="18">
      <c r="A18" s="15" t="inlineStr">
        <is>
          <t>SKU-1017</t>
        </is>
      </c>
      <c r="B18" s="15" t="inlineStr">
        <is>
          <t>Industrial</t>
        </is>
      </c>
      <c r="C18" s="15" t="inlineStr">
        <is>
          <t>North</t>
        </is>
      </c>
      <c r="D18" s="12" t="n">
        <v>95</v>
      </c>
      <c r="E18" s="11" t="n">
        <v>423</v>
      </c>
      <c r="F18" s="16" t="n">
        <v>4</v>
      </c>
      <c r="G18" s="11" t="n">
        <v>92</v>
      </c>
      <c r="H18" s="11" t="n">
        <v>111</v>
      </c>
      <c r="I18" s="12">
        <f>E18*D18</f>
        <v/>
      </c>
      <c r="J18" s="11">
        <f>(F18*15)+(F18*5)</f>
        <v/>
      </c>
      <c r="K18" s="15">
        <f>IF(E18&lt;=J18*0.5,"CRITICAL",IF(E18&lt;=J18,"WARNING","HEALTHY"))</f>
        <v/>
      </c>
    </row>
    <row r="19">
      <c r="A19" s="15" t="inlineStr">
        <is>
          <t>SKU-1018</t>
        </is>
      </c>
      <c r="B19" s="15" t="inlineStr">
        <is>
          <t>Components</t>
        </is>
      </c>
      <c r="C19" s="15" t="inlineStr">
        <is>
          <t>East</t>
        </is>
      </c>
      <c r="D19" s="12" t="n">
        <v>210</v>
      </c>
      <c r="E19" s="11" t="n">
        <v>465</v>
      </c>
      <c r="F19" s="16" t="n">
        <v>8</v>
      </c>
      <c r="G19" s="11" t="n">
        <v>197</v>
      </c>
      <c r="H19" s="11" t="n">
        <v>239</v>
      </c>
      <c r="I19" s="12">
        <f>E19*D19</f>
        <v/>
      </c>
      <c r="J19" s="11">
        <f>(F19*15)+(F19*5)</f>
        <v/>
      </c>
      <c r="K19" s="15">
        <f>IF(E19&lt;=J19*0.5,"CRITICAL",IF(E19&lt;=J19,"WARNING","HEALTHY"))</f>
        <v/>
      </c>
    </row>
    <row r="20">
      <c r="A20" s="15" t="inlineStr">
        <is>
          <t>SKU-1019</t>
        </is>
      </c>
      <c r="B20" s="15" t="inlineStr">
        <is>
          <t>Hardware</t>
        </is>
      </c>
      <c r="C20" s="15" t="inlineStr">
        <is>
          <t>South</t>
        </is>
      </c>
      <c r="D20" s="12" t="n">
        <v>550</v>
      </c>
      <c r="E20" s="11" t="n">
        <v>539</v>
      </c>
      <c r="F20" s="16" t="n">
        <v>3</v>
      </c>
      <c r="G20" s="11" t="n">
        <v>60</v>
      </c>
      <c r="H20" s="11" t="n">
        <v>72</v>
      </c>
      <c r="I20" s="12">
        <f>E20*D20</f>
        <v/>
      </c>
      <c r="J20" s="11">
        <f>(F20*15)+(F20*5)</f>
        <v/>
      </c>
      <c r="K20" s="15">
        <f>IF(E20&lt;=J20*0.5,"CRITICAL",IF(E20&lt;=J20,"WARNING","HEALTHY"))</f>
        <v/>
      </c>
    </row>
    <row r="21">
      <c r="A21" s="15" t="inlineStr">
        <is>
          <t>SKU-1020</t>
        </is>
      </c>
      <c r="B21" s="15" t="inlineStr">
        <is>
          <t>Automotive</t>
        </is>
      </c>
      <c r="C21" s="15" t="inlineStr">
        <is>
          <t>West</t>
        </is>
      </c>
      <c r="D21" s="12" t="n">
        <v>780</v>
      </c>
      <c r="E21" s="11" t="n">
        <v>332</v>
      </c>
      <c r="F21" s="16" t="n">
        <v>8</v>
      </c>
      <c r="G21" s="11" t="n">
        <v>97</v>
      </c>
      <c r="H21" s="11" t="n">
        <v>117</v>
      </c>
      <c r="I21" s="12">
        <f>E21*D21</f>
        <v/>
      </c>
      <c r="J21" s="11">
        <f>(F21*15)+(F21*5)</f>
        <v/>
      </c>
      <c r="K21" s="15">
        <f>IF(E21&lt;=J21*0.5,"CRITICAL",IF(E21&lt;=J21,"WARNING","HEALTHY"))</f>
        <v/>
      </c>
    </row>
    <row r="22">
      <c r="A22" s="15" t="inlineStr">
        <is>
          <t>SKU-1021</t>
        </is>
      </c>
      <c r="B22" s="15" t="inlineStr">
        <is>
          <t>Electronics</t>
        </is>
      </c>
      <c r="C22" s="15" t="inlineStr">
        <is>
          <t>North</t>
        </is>
      </c>
      <c r="D22" s="12" t="n">
        <v>850</v>
      </c>
      <c r="E22" s="11" t="n">
        <v>940</v>
      </c>
      <c r="F22" s="16" t="n">
        <v>6</v>
      </c>
      <c r="G22" s="11" t="n">
        <v>142</v>
      </c>
      <c r="H22" s="11" t="n">
        <v>172</v>
      </c>
      <c r="I22" s="12">
        <f>E22*D22</f>
        <v/>
      </c>
      <c r="J22" s="11">
        <f>(F22*15)+(F22*5)</f>
        <v/>
      </c>
      <c r="K22" s="15">
        <f>IF(E22&lt;=J22*0.5,"CRITICAL",IF(E22&lt;=J22,"WARNING","HEALTHY"))</f>
        <v/>
      </c>
    </row>
    <row r="23">
      <c r="A23" s="15" t="inlineStr">
        <is>
          <t>SKU-1022</t>
        </is>
      </c>
      <c r="B23" s="15" t="inlineStr">
        <is>
          <t>Industrial</t>
        </is>
      </c>
      <c r="C23" s="15" t="inlineStr">
        <is>
          <t>East</t>
        </is>
      </c>
      <c r="D23" s="12" t="n">
        <v>320</v>
      </c>
      <c r="E23" s="11" t="n">
        <v>151</v>
      </c>
      <c r="F23" s="16" t="n">
        <v>13</v>
      </c>
      <c r="G23" s="11" t="n">
        <v>54</v>
      </c>
      <c r="H23" s="11" t="n">
        <v>65</v>
      </c>
      <c r="I23" s="12">
        <f>E23*D23</f>
        <v/>
      </c>
      <c r="J23" s="11">
        <f>(F23*15)+(F23*5)</f>
        <v/>
      </c>
      <c r="K23" s="15">
        <f>IF(E23&lt;=J23*0.5,"CRITICAL",IF(E23&lt;=J23,"WARNING","HEALTHY"))</f>
        <v/>
      </c>
    </row>
    <row r="24">
      <c r="A24" s="15" t="inlineStr">
        <is>
          <t>SKU-1023</t>
        </is>
      </c>
      <c r="B24" s="15" t="inlineStr">
        <is>
          <t>Components</t>
        </is>
      </c>
      <c r="C24" s="15" t="inlineStr">
        <is>
          <t>South</t>
        </is>
      </c>
      <c r="D24" s="12" t="n">
        <v>45</v>
      </c>
      <c r="E24" s="11" t="n">
        <v>201</v>
      </c>
      <c r="F24" s="16" t="n">
        <v>9</v>
      </c>
      <c r="G24" s="11" t="n">
        <v>60</v>
      </c>
      <c r="H24" s="11" t="n">
        <v>72</v>
      </c>
      <c r="I24" s="12">
        <f>E24*D24</f>
        <v/>
      </c>
      <c r="J24" s="11">
        <f>(F24*15)+(F24*5)</f>
        <v/>
      </c>
      <c r="K24" s="15">
        <f>IF(E24&lt;=J24*0.5,"CRITICAL",IF(E24&lt;=J24,"WARNING","HEALTHY"))</f>
        <v/>
      </c>
    </row>
    <row r="25">
      <c r="A25" s="15" t="inlineStr">
        <is>
          <t>SKU-1024</t>
        </is>
      </c>
      <c r="B25" s="15" t="inlineStr">
        <is>
          <t>Hardware</t>
        </is>
      </c>
      <c r="C25" s="15" t="inlineStr">
        <is>
          <t>West</t>
        </is>
      </c>
      <c r="D25" s="12" t="n">
        <v>400</v>
      </c>
      <c r="E25" s="11" t="n">
        <v>167</v>
      </c>
      <c r="F25" s="16" t="n">
        <v>13</v>
      </c>
      <c r="G25" s="11" t="n">
        <v>114</v>
      </c>
      <c r="H25" s="11" t="n">
        <v>138</v>
      </c>
      <c r="I25" s="12">
        <f>E25*D25</f>
        <v/>
      </c>
      <c r="J25" s="11">
        <f>(F25*15)+(F25*5)</f>
        <v/>
      </c>
      <c r="K25" s="15">
        <f>IF(E25&lt;=J25*0.5,"CRITICAL",IF(E25&lt;=J25,"WARNING","HEALTHY"))</f>
        <v/>
      </c>
    </row>
    <row r="26">
      <c r="A26" s="15" t="inlineStr">
        <is>
          <t>SKU-1025</t>
        </is>
      </c>
      <c r="B26" s="15" t="inlineStr">
        <is>
          <t>Automotive</t>
        </is>
      </c>
      <c r="C26" s="15" t="inlineStr">
        <is>
          <t>North</t>
        </is>
      </c>
      <c r="D26" s="12" t="n">
        <v>1200</v>
      </c>
      <c r="E26" s="11" t="n">
        <v>951</v>
      </c>
      <c r="F26" s="16" t="n">
        <v>6</v>
      </c>
      <c r="G26" s="11" t="n">
        <v>156</v>
      </c>
      <c r="H26" s="11" t="n">
        <v>189</v>
      </c>
      <c r="I26" s="12">
        <f>E26*D26</f>
        <v/>
      </c>
      <c r="J26" s="11">
        <f>(F26*15)+(F26*5)</f>
        <v/>
      </c>
      <c r="K26" s="15">
        <f>IF(E26&lt;=J26*0.5,"CRITICAL",IF(E26&lt;=J26,"WARNING","HEALTHY"))</f>
        <v/>
      </c>
    </row>
    <row r="27">
      <c r="A27" s="15" t="inlineStr">
        <is>
          <t>SKU-1026</t>
        </is>
      </c>
      <c r="B27" s="15" t="inlineStr">
        <is>
          <t>Electronics</t>
        </is>
      </c>
      <c r="C27" s="15" t="inlineStr">
        <is>
          <t>East</t>
        </is>
      </c>
      <c r="D27" s="12" t="n">
        <v>650</v>
      </c>
      <c r="E27" s="11" t="n">
        <v>741</v>
      </c>
      <c r="F27" s="16" t="n">
        <v>5</v>
      </c>
      <c r="G27" s="11" t="n">
        <v>191</v>
      </c>
      <c r="H27" s="11" t="n">
        <v>232</v>
      </c>
      <c r="I27" s="12">
        <f>E27*D27</f>
        <v/>
      </c>
      <c r="J27" s="11">
        <f>(F27*15)+(F27*5)</f>
        <v/>
      </c>
      <c r="K27" s="15">
        <f>IF(E27&lt;=J27*0.5,"CRITICAL",IF(E27&lt;=J27,"WARNING","HEALTHY"))</f>
        <v/>
      </c>
    </row>
    <row r="28">
      <c r="A28" s="15" t="inlineStr">
        <is>
          <t>SKU-1027</t>
        </is>
      </c>
      <c r="B28" s="15" t="inlineStr">
        <is>
          <t>Industrial</t>
        </is>
      </c>
      <c r="C28" s="15" t="inlineStr">
        <is>
          <t>South</t>
        </is>
      </c>
      <c r="D28" s="12" t="n">
        <v>95</v>
      </c>
      <c r="E28" s="11" t="n">
        <v>423</v>
      </c>
      <c r="F28" s="16" t="n">
        <v>4</v>
      </c>
      <c r="G28" s="11" t="n">
        <v>92</v>
      </c>
      <c r="H28" s="11" t="n">
        <v>111</v>
      </c>
      <c r="I28" s="12">
        <f>E28*D28</f>
        <v/>
      </c>
      <c r="J28" s="11">
        <f>(F28*15)+(F28*5)</f>
        <v/>
      </c>
      <c r="K28" s="15">
        <f>IF(E28&lt;=J28*0.5,"CRITICAL",IF(E28&lt;=J28,"WARNING","HEALTHY"))</f>
        <v/>
      </c>
    </row>
    <row r="29">
      <c r="A29" s="15" t="inlineStr">
        <is>
          <t>SKU-1028</t>
        </is>
      </c>
      <c r="B29" s="15" t="inlineStr">
        <is>
          <t>Components</t>
        </is>
      </c>
      <c r="C29" s="15" t="inlineStr">
        <is>
          <t>West</t>
        </is>
      </c>
      <c r="D29" s="12" t="n">
        <v>210</v>
      </c>
      <c r="E29" s="11" t="n">
        <v>465</v>
      </c>
      <c r="F29" s="16" t="n">
        <v>8</v>
      </c>
      <c r="G29" s="11" t="n">
        <v>197</v>
      </c>
      <c r="H29" s="11" t="n">
        <v>239</v>
      </c>
      <c r="I29" s="12">
        <f>E29*D29</f>
        <v/>
      </c>
      <c r="J29" s="11">
        <f>(F29*15)+(F29*5)</f>
        <v/>
      </c>
      <c r="K29" s="15">
        <f>IF(E29&lt;=J29*0.5,"CRITICAL",IF(E29&lt;=J29,"WARNING","HEALTHY"))</f>
        <v/>
      </c>
    </row>
    <row r="30">
      <c r="A30" s="15" t="inlineStr">
        <is>
          <t>SKU-1029</t>
        </is>
      </c>
      <c r="B30" s="15" t="inlineStr">
        <is>
          <t>Hardware</t>
        </is>
      </c>
      <c r="C30" s="15" t="inlineStr">
        <is>
          <t>North</t>
        </is>
      </c>
      <c r="D30" s="12" t="n">
        <v>550</v>
      </c>
      <c r="E30" s="11" t="n">
        <v>539</v>
      </c>
      <c r="F30" s="16" t="n">
        <v>3</v>
      </c>
      <c r="G30" s="11" t="n">
        <v>60</v>
      </c>
      <c r="H30" s="11" t="n">
        <v>72</v>
      </c>
      <c r="I30" s="12">
        <f>E30*D30</f>
        <v/>
      </c>
      <c r="J30" s="11">
        <f>(F30*15)+(F30*5)</f>
        <v/>
      </c>
      <c r="K30" s="15">
        <f>IF(E30&lt;=J30*0.5,"CRITICAL",IF(E30&lt;=J30,"WARNING","HEALTHY"))</f>
        <v/>
      </c>
    </row>
    <row r="31">
      <c r="A31" s="15" t="inlineStr">
        <is>
          <t>SKU-1030</t>
        </is>
      </c>
      <c r="B31" s="15" t="inlineStr">
        <is>
          <t>Automotive</t>
        </is>
      </c>
      <c r="C31" s="15" t="inlineStr">
        <is>
          <t>East</t>
        </is>
      </c>
      <c r="D31" s="12" t="n">
        <v>780</v>
      </c>
      <c r="E31" s="11" t="n">
        <v>332</v>
      </c>
      <c r="F31" s="16" t="n">
        <v>8</v>
      </c>
      <c r="G31" s="11" t="n">
        <v>97</v>
      </c>
      <c r="H31" s="11" t="n">
        <v>117</v>
      </c>
      <c r="I31" s="12">
        <f>E31*D31</f>
        <v/>
      </c>
      <c r="J31" s="11">
        <f>(F31*15)+(F31*5)</f>
        <v/>
      </c>
      <c r="K31" s="15">
        <f>IF(E31&lt;=J31*0.5,"CRITICAL",IF(E31&lt;=J31,"WARNING","HEALTHY"))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51" customWidth="1" min="3" max="3"/>
    <col width="25" customWidth="1" min="4" max="4"/>
    <col width="51" customWidth="1" min="5" max="5"/>
    <col width="45" customWidth="1" min="6" max="6"/>
  </cols>
  <sheetData>
    <row r="1">
      <c r="A1" s="1" t="inlineStr">
        <is>
          <t>Supply Chain Model Reconciliation &amp; Audit Matrix</t>
        </is>
      </c>
    </row>
    <row r="2">
      <c r="A2" s="2" t="inlineStr">
        <is>
          <t>Automated Excel verification against Power BI DAX calculation engine</t>
        </is>
      </c>
    </row>
    <row r="3"/>
    <row r="4">
      <c r="A4" s="17" t="inlineStr">
        <is>
          <t>Metric Name</t>
        </is>
      </c>
      <c r="B4" s="17" t="inlineStr">
        <is>
          <t>Power BI DAX Target</t>
        </is>
      </c>
      <c r="C4" s="17" t="inlineStr">
        <is>
          <t>Excel Calculated Value</t>
        </is>
      </c>
      <c r="D4" s="17" t="inlineStr">
        <is>
          <t>Variance / Discrepancy</t>
        </is>
      </c>
      <c r="E4" s="17" t="inlineStr">
        <is>
          <t>Audit Status</t>
        </is>
      </c>
      <c r="F4" s="17" t="inlineStr">
        <is>
          <t>Formula Verification Used</t>
        </is>
      </c>
    </row>
    <row r="5">
      <c r="A5" s="10" t="inlineStr">
        <is>
          <t>Total Inventory Valuation ($)</t>
        </is>
      </c>
      <c r="B5" s="18" t="n">
        <v>10563450</v>
      </c>
      <c r="C5" s="18">
        <f>SUM('Supply Chain Data'!I2:I31)</f>
        <v/>
      </c>
      <c r="D5" s="18">
        <f>C5-B5</f>
        <v/>
      </c>
      <c r="E5" s="10">
        <f>IF(ABS(D5)&lt;0.01,"MATCHED - 100%","DISCREPANCY")</f>
        <v/>
      </c>
      <c r="F5" s="28">
        <f>LET(prices, 'Supply Chain Data'!D2:D31, stock, 'Supply Chain Data'!E2:E31, SUM(prices * stock))</f>
        <v/>
      </c>
    </row>
    <row r="6">
      <c r="A6" s="10" t="inlineStr">
        <is>
          <t>Total Stocked Quantity (Units)</t>
        </is>
      </c>
      <c r="B6" s="20" t="n">
        <v>15300</v>
      </c>
      <c r="C6" s="20">
        <f>SUM('Supply Chain Data'!E2:E31)</f>
        <v/>
      </c>
      <c r="D6" s="20">
        <f>C6-B6</f>
        <v/>
      </c>
      <c r="E6" s="10">
        <f>IF(ABS(D6)&lt;0.01,"MATCHED - 100%","DISCREPANCY")</f>
        <v/>
      </c>
      <c r="F6" s="28">
        <f>LET(stock, 'Supply Chain Data'!E2:E31, SUM(stock))</f>
        <v/>
      </c>
    </row>
    <row r="7">
      <c r="A7" s="10" t="inlineStr">
        <is>
          <t>Average Lead Time (Days)</t>
        </is>
      </c>
      <c r="B7" s="21" t="n">
        <v>6.33</v>
      </c>
      <c r="C7" s="21">
        <f>AVERAGE('Supply Chain Data'!F2:F31)</f>
        <v/>
      </c>
      <c r="D7" s="21">
        <f>C7-B7</f>
        <v/>
      </c>
      <c r="E7" s="10">
        <f>IF(ABS(D7)&lt;0.05,"MATCHED - 100%","DISCREPANCY")</f>
        <v/>
      </c>
      <c r="F7" s="28">
        <f>LET(lead_time, 'Supply Chain Data'!F2:F31, AVERAGE(lead_time))</f>
        <v/>
      </c>
    </row>
    <row r="8">
      <c r="A8" s="10" t="inlineStr">
        <is>
          <t>Critical Risk Items Count</t>
        </is>
      </c>
      <c r="B8" s="20" t="n">
        <v>2</v>
      </c>
      <c r="C8" s="20">
        <f>COUNTIF('Supply Chain Data'!K2:K31, "CRITICAL")</f>
        <v/>
      </c>
      <c r="D8" s="20">
        <f>C8-B8</f>
        <v/>
      </c>
      <c r="E8" s="10">
        <f>IF(D8=0,"MATCHED - 100%","DISCREPANCY")</f>
        <v/>
      </c>
      <c r="F8" s="28">
        <f>LET(status_col, 'Supply Chain Data'!K2:K31, COUNTIF(status_col, "CRITICAL"))</f>
        <v/>
      </c>
    </row>
    <row r="9">
      <c r="A9" s="10" t="inlineStr">
        <is>
          <t>Total 30-Day Demand (Units)</t>
        </is>
      </c>
      <c r="B9" s="20" t="n">
        <v>4137</v>
      </c>
      <c r="C9" s="20">
        <f>SUM('Supply Chain Data'!H2:H31)</f>
        <v/>
      </c>
      <c r="D9" s="20">
        <f>C9-B9</f>
        <v/>
      </c>
      <c r="E9" s="10">
        <f>IF(ABS(D9)&lt;0.01,"MATCHED - 100%","DISCREPANCY")</f>
        <v/>
      </c>
      <c r="F9" s="28">
        <f>LET(demand, 'Supply Chain Data'!H2:H31, SUM(demand))</f>
        <v/>
      </c>
    </row>
  </sheetData>
  <conditionalFormatting sqref="E5:E9">
    <cfRule type="cellIs" priority="1" operator="equal" dxfId="0" stopIfTrue="1">
      <formula>"MATCHED - 100%"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2026-08-18T19:25:47Z</dcterms:created>
  <dcterms:modified xmlns:dcterms="http://purl.org/dc/terms/" xmlns:xsi="http://www.w3.org/2001/XMLSchema-instance" xsi:type="dcterms:W3CDTF">2026-08-18T19:27:26Z</dcterms:modified>
</cp:coreProperties>
</file>